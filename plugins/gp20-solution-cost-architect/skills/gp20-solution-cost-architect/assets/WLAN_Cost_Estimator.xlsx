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Rates" sheetId="3" state="visible" r:id="rId3"/>
    <sheet xmlns:r="http://schemas.openxmlformats.org/officeDocument/2006/relationships" name="Model" sheetId="4" state="visible" r:id="rId4"/>
  </sheets>
  <definedNames>
    <definedName name="AP_INSTALL_DAYS">Rates!$B$47</definedName>
    <definedName name="SWITCH_INSTALL_DAYS">Rates!$B$48</definedName>
    <definedName name="MOBILISATION_DAYS_PER_SITE">Rates!$B$49</definedName>
    <definedName name="DESIGN_DAYS_FIXED">Rates!$B$50</definedName>
    <definedName name="DESIGN_DAYS_PER_SITE">Rates!$B$51</definedName>
    <definedName name="PM_OVERHEAD_PCT">Rates!$B$52</definedName>
    <definedName name="OOH_UPLIFT">Rates!$B$53</definedName>
    <definedName name="AP_INCIDENT_RATE_PA">Rates!$B$54</definedName>
    <definedName name="SWITCH_INCIDENT_RATE_PA">Rates!$B$55</definedName>
    <definedName name="HOURS_PER_INCIDENT">Rates!$B$56</definedName>
    <definedName name="PRODUCTIVE_HOURS_PA">Rates!$B$57</definedName>
    <definedName name="WORKING_DAYS_PA">Rates!$B$58</definedName>
    <definedName name="APS_PER_NOC_FTE">Rates!$B$59</definedName>
    <definedName name="SD_CONTACTS_PER_USER_PA">Rates!$B$60</definedName>
    <definedName name="SD_MINUTES_PER_CONTACT">Rates!$B$61</definedName>
    <definedName name="PORTS_PER_SWITCH">Rates!$B$62</definedName>
    <definedName name="USERS_PER_PORT">Rates!$B$63</definedName>
    <definedName name="AP_UNIT_COST">Rates!$B$64</definedName>
    <definedName name="SWITCH_UNIT_COST">Rates!$B$65</definedName>
    <definedName name="TOOLING_PER_SITE">Rates!$B$66</definedName>
    <definedName name="OVERHEAD_PCT">Rates!$B$67</definedName>
    <definedName name="SITES_PER_POST">Rates!$B$68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£&quot;#,##0"/>
    <numFmt numFmtId="166" formatCode="0.000"/>
    <numFmt numFmtId="167" formatCode="#,##0.0"/>
  </numFmts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2E6E8E"/>
      <sz val="10"/>
    </font>
    <font>
      <i val="1"/>
      <color rgb="006B7785"/>
      <sz val="9"/>
    </font>
    <font>
      <b val="1"/>
      <color rgb="001F3556"/>
      <sz val="10"/>
    </font>
    <font>
      <sz val="10"/>
    </font>
    <font>
      <b val="1"/>
      <sz val="10"/>
    </font>
    <font>
      <b val="1"/>
      <color rgb="00FFFFFF"/>
      <sz val="10"/>
    </font>
    <font>
      <b val="1"/>
      <color rgb="001F3556"/>
      <sz val="12"/>
    </font>
    <font>
      <i val="1"/>
      <color rgb="001F3556"/>
      <sz val="10"/>
    </font>
  </fonts>
  <fills count="8">
    <fill>
      <patternFill/>
    </fill>
    <fill>
      <patternFill patternType="gray125"/>
    </fill>
    <fill>
      <patternFill patternType="solid">
        <fgColor rgb="001F3556"/>
      </patternFill>
    </fill>
    <fill>
      <patternFill patternType="solid">
        <fgColor rgb="00E8EDF3"/>
      </patternFill>
    </fill>
    <fill>
      <patternFill patternType="solid">
        <fgColor rgb="00FFF6DA"/>
      </patternFill>
    </fill>
    <fill>
      <patternFill patternType="solid">
        <fgColor rgb="002E6E8E"/>
      </patternFill>
    </fill>
    <fill>
      <patternFill patternType="solid">
        <fgColor rgb="00FDEBE0"/>
      </patternFill>
    </fill>
    <fill>
      <patternFill patternType="solid">
        <fgColor rgb="00EAF3EC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3" fillId="6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167" fontId="6" fillId="0" borderId="0" pivotButton="0" quotePrefix="0" xfId="0"/>
    <xf numFmtId="167" fontId="8" fillId="7" borderId="0" pivotButton="0" quotePrefix="0" xfId="0"/>
    <xf numFmtId="165" fontId="6" fillId="0" borderId="0" pivotButton="0" quotePrefix="0" xfId="0"/>
    <xf numFmtId="165" fontId="8" fillId="7" borderId="0" pivotButton="0" quotePrefix="0" xfId="0"/>
    <xf numFmtId="0" fontId="7" fillId="5" borderId="0" pivotButton="0" quotePrefix="0" xfId="0"/>
    <xf numFmtId="0" fontId="6" fillId="0" borderId="1" pivotButton="0" quotePrefix="0" xfId="0"/>
    <xf numFmtId="0" fontId="5" fillId="0" borderId="1" pivotButton="0" quotePrefix="0" xfId="0"/>
    <xf numFmtId="4" fontId="0" fillId="0" borderId="1" pivotButton="0" quotePrefix="0" xfId="0"/>
    <xf numFmtId="4" fontId="8" fillId="7" borderId="0" pivotButton="0" quotePrefix="0" xfId="0"/>
    <xf numFmtId="1" fontId="6" fillId="0" borderId="0" pivotButton="0" quotePrefix="0" xfId="0"/>
    <xf numFmtId="0" fontId="9" fillId="0" borderId="0" applyAlignment="1" pivotButton="0" quotePrefix="0" xfId="0">
      <alignment vertical="top" wrapText="1"/>
    </xf>
    <xf numFmtId="0" fontId="2" fillId="0" borderId="0" pivotButton="0" quotePrefix="0" xfId="0"/>
    <xf numFmtId="0" fontId="6" fillId="4" borderId="1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3" fontId="6" fillId="4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165" fontId="5" fillId="0" borderId="0" pivotButton="0" quotePrefix="0" xfId="0"/>
    <xf numFmtId="164" fontId="5" fillId="0" borderId="0" pivotButton="0" quotePrefix="0" xfId="0"/>
    <xf numFmtId="166" fontId="6" fillId="0" borderId="0" pivotButton="0" quotePrefix="0" xfId="0"/>
    <xf numFmtId="4" fontId="6" fillId="0" borderId="0" pivotButton="0" quotePrefix="0" xfId="0"/>
    <xf numFmtId="164" fontId="6" fillId="0" borderId="0" pivotButton="0" quotePrefix="0" xfId="0"/>
    <xf numFmtId="164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40" customWidth="1" min="4" max="4"/>
  </cols>
  <sheetData>
    <row r="1">
      <c r="A1" s="1" t="inlineStr">
        <is>
          <t>SOLUTION &amp; COST SUMMARY</t>
        </is>
      </c>
    </row>
    <row r="2">
      <c r="A2" s="2">
        <f>Input!$B$6</f>
        <v/>
      </c>
      <c r="B2" s="3">
        <f>Input!$B$7</f>
        <v/>
      </c>
    </row>
    <row r="3">
      <c r="A3" s="4" t="inlineStr">
        <is>
          <t>ILLUSTRATIVE MODEL — synthetic rates, not NSC pricing.</t>
        </is>
      </c>
    </row>
    <row r="5">
      <c r="A5" s="5" t="inlineStr">
        <is>
          <t>SOLUTION SHAPE</t>
        </is>
      </c>
      <c r="B5" s="6" t="n"/>
      <c r="C5" s="6" t="n"/>
      <c r="D5" s="6" t="n"/>
    </row>
    <row r="6">
      <c r="A6" s="7" t="inlineStr">
        <is>
          <t>Total sites</t>
        </is>
      </c>
      <c r="B6" s="8">
        <f>Input!$B$16</f>
        <v/>
      </c>
    </row>
    <row r="7">
      <c r="A7" s="7" t="inlineStr">
        <is>
          <t>Access points</t>
        </is>
      </c>
      <c r="B7" s="8">
        <f>Model!$B$4</f>
        <v/>
      </c>
    </row>
    <row r="8">
      <c r="A8" s="7" t="inlineStr">
        <is>
          <t>Access switches</t>
        </is>
      </c>
      <c r="B8" s="8">
        <f>Model!$B$6</f>
        <v/>
      </c>
    </row>
    <row r="9">
      <c r="A9" s="7" t="inlineStr">
        <is>
          <t>End users</t>
        </is>
      </c>
      <c r="B9" s="8">
        <f>Model!$B$5</f>
        <v/>
      </c>
    </row>
    <row r="10">
      <c r="A10" s="7" t="inlineStr">
        <is>
          <t>SLA tier / response</t>
        </is>
      </c>
      <c r="B10" s="9">
        <f>Input!$B$33&amp;" — "&amp;Model!$B$12</f>
        <v/>
      </c>
    </row>
    <row r="11">
      <c r="A11" s="7" t="inlineStr">
        <is>
          <t>Coverage window</t>
        </is>
      </c>
      <c r="B11" s="9">
        <f>Input!$B$34</f>
        <v/>
      </c>
    </row>
    <row r="12">
      <c r="A12" s="7" t="inlineStr">
        <is>
          <t>Spares strategy</t>
        </is>
      </c>
      <c r="B12" s="9">
        <f>Input!$B$35</f>
        <v/>
      </c>
    </row>
    <row r="14">
      <c r="A14" s="5" t="inlineStr">
        <is>
          <t>DEPLOYMENT  (one-off)</t>
        </is>
      </c>
      <c r="B14" s="6" t="n"/>
      <c r="C14" s="6" t="n"/>
      <c r="D14" s="6" t="n"/>
    </row>
    <row r="15">
      <c r="A15" s="7" t="inlineStr">
        <is>
          <t>Survey days</t>
        </is>
      </c>
      <c r="B15" s="10">
        <f>Model!$B$22</f>
        <v/>
      </c>
    </row>
    <row r="16">
      <c r="A16" s="7" t="inlineStr">
        <is>
          <t>Install days</t>
        </is>
      </c>
      <c r="B16" s="10">
        <f>Model!$B$23</f>
        <v/>
      </c>
    </row>
    <row r="17">
      <c r="A17" s="7" t="inlineStr">
        <is>
          <t>Design days</t>
        </is>
      </c>
      <c r="B17" s="10">
        <f>Model!$B$24</f>
        <v/>
      </c>
    </row>
    <row r="18">
      <c r="A18" s="7" t="inlineStr">
        <is>
          <t>Project management days</t>
        </is>
      </c>
      <c r="B18" s="10">
        <f>Model!$B$25</f>
        <v/>
      </c>
    </row>
    <row r="19">
      <c r="A19" s="9" t="inlineStr">
        <is>
          <t>Total effort (days)</t>
        </is>
      </c>
      <c r="B19" s="11">
        <f>Model!$B$26</f>
        <v/>
      </c>
    </row>
    <row r="20">
      <c r="A20" s="7" t="inlineStr">
        <is>
          <t>Hardware</t>
        </is>
      </c>
      <c r="B20" s="12">
        <f>Model!$B$28</f>
        <v/>
      </c>
    </row>
    <row r="21">
      <c r="A21" s="9" t="inlineStr">
        <is>
          <t>One-off price</t>
        </is>
      </c>
      <c r="B21" s="13">
        <f>Model!$B$33</f>
        <v/>
      </c>
      <c r="D21" s="3" t="inlineStr"/>
    </row>
    <row r="23">
      <c r="A23" s="5" t="inlineStr">
        <is>
          <t>RUN — RESOURCE BY LOCATION</t>
        </is>
      </c>
      <c r="B23" s="6" t="n"/>
      <c r="C23" s="6" t="n"/>
      <c r="D23" s="6" t="n"/>
    </row>
    <row r="24">
      <c r="A24" s="14" t="inlineStr">
        <is>
          <t>Country</t>
        </is>
      </c>
      <c r="B24" s="14" t="inlineStr">
        <is>
          <t>Role</t>
        </is>
      </c>
      <c r="C24" s="14" t="inlineStr">
        <is>
          <t>FTE</t>
        </is>
      </c>
      <c r="D24" s="14" t="inlineStr">
        <is>
          <t>Sizing driver</t>
        </is>
      </c>
    </row>
    <row r="25">
      <c r="A25" s="15" t="inlineStr">
        <is>
          <t>UK</t>
        </is>
      </c>
      <c r="B25" s="16" t="inlineStr">
        <is>
          <t>Field Engineer</t>
        </is>
      </c>
      <c r="C25" s="17">
        <f>Model!$F$41</f>
        <v/>
      </c>
      <c r="D25" s="16">
        <f>Model!$G$41</f>
        <v/>
      </c>
    </row>
    <row r="26">
      <c r="A26" s="15" t="inlineStr">
        <is>
          <t>DE</t>
        </is>
      </c>
      <c r="B26" s="16" t="inlineStr">
        <is>
          <t>Field Engineer</t>
        </is>
      </c>
      <c r="C26" s="17">
        <f>Model!$F$42</f>
        <v/>
      </c>
      <c r="D26" s="16">
        <f>Model!$G$42</f>
        <v/>
      </c>
    </row>
    <row r="27">
      <c r="A27" s="15" t="inlineStr">
        <is>
          <t>FR</t>
        </is>
      </c>
      <c r="B27" s="16" t="inlineStr">
        <is>
          <t>Field Engineer</t>
        </is>
      </c>
      <c r="C27" s="17">
        <f>Model!$F$43</f>
        <v/>
      </c>
      <c r="D27" s="16">
        <f>Model!$G$43</f>
        <v/>
      </c>
    </row>
    <row r="28">
      <c r="A28" s="15" t="inlineStr">
        <is>
          <t>NL</t>
        </is>
      </c>
      <c r="B28" s="16" t="inlineStr">
        <is>
          <t>Field Engineer</t>
        </is>
      </c>
      <c r="C28" s="17">
        <f>Model!$F$44</f>
        <v/>
      </c>
      <c r="D28" s="16">
        <f>Model!$G$44</f>
        <v/>
      </c>
    </row>
    <row r="29">
      <c r="A29" s="15" t="inlineStr">
        <is>
          <t>PL</t>
        </is>
      </c>
      <c r="B29" s="16" t="inlineStr">
        <is>
          <t>Field Engineer</t>
        </is>
      </c>
      <c r="C29" s="17">
        <f>Model!$F$45</f>
        <v/>
      </c>
      <c r="D29" s="16">
        <f>Model!$G$45</f>
        <v/>
      </c>
    </row>
    <row r="30">
      <c r="A30" s="15" t="inlineStr">
        <is>
          <t>PL</t>
        </is>
      </c>
      <c r="B30" s="16" t="inlineStr">
        <is>
          <t>NOC Engineer</t>
        </is>
      </c>
      <c r="C30" s="17">
        <f>Model!$B$50</f>
        <v/>
      </c>
      <c r="D30" s="16" t="inlineStr">
        <is>
          <t>central</t>
        </is>
      </c>
    </row>
    <row r="31">
      <c r="A31" s="15" t="inlineStr">
        <is>
          <t>PL</t>
        </is>
      </c>
      <c r="B31" s="16" t="inlineStr">
        <is>
          <t>Service Desk</t>
        </is>
      </c>
      <c r="C31" s="17">
        <f>Model!$B$51</f>
        <v/>
      </c>
      <c r="D31" s="16" t="inlineStr">
        <is>
          <t>central</t>
        </is>
      </c>
    </row>
    <row r="32">
      <c r="A32" s="15" t="inlineStr">
        <is>
          <t>Lead country</t>
        </is>
      </c>
      <c r="B32" s="16" t="inlineStr">
        <is>
          <t>Service Delivery Manager</t>
        </is>
      </c>
      <c r="C32" s="17">
        <f>Model!$B$57</f>
        <v/>
      </c>
      <c r="D32" s="16" t="inlineStr">
        <is>
          <t>contract band</t>
        </is>
      </c>
    </row>
    <row r="33">
      <c r="A33" s="9" t="inlineStr">
        <is>
          <t>Total run FTE</t>
        </is>
      </c>
      <c r="B33" s="18">
        <f>Model!$B$67</f>
        <v/>
      </c>
    </row>
    <row r="35">
      <c r="A35" s="5" t="inlineStr">
        <is>
          <t>RUN — ANNUAL COST BUILD</t>
        </is>
      </c>
      <c r="B35" s="6" t="n"/>
      <c r="C35" s="6" t="n"/>
      <c r="D35" s="6" t="n"/>
    </row>
    <row r="36">
      <c r="A36" s="7" t="inlineStr">
        <is>
          <t>Labour</t>
        </is>
      </c>
      <c r="B36" s="12">
        <f>Model!$B$58</f>
        <v/>
      </c>
    </row>
    <row r="37">
      <c r="A37" s="7" t="inlineStr">
        <is>
          <t>Travel</t>
        </is>
      </c>
      <c r="B37" s="12">
        <f>Model!$B$59</f>
        <v/>
      </c>
    </row>
    <row r="38">
      <c r="A38" s="7" t="inlineStr">
        <is>
          <t>Spares</t>
        </is>
      </c>
      <c r="B38" s="12">
        <f>Model!$B$60</f>
        <v/>
      </c>
    </row>
    <row r="39">
      <c r="A39" s="7" t="inlineStr">
        <is>
          <t>Tooling</t>
        </is>
      </c>
      <c r="B39" s="12">
        <f>Model!$B$61</f>
        <v/>
      </c>
    </row>
    <row r="40">
      <c r="A40" s="7" t="inlineStr">
        <is>
          <t>Overhead</t>
        </is>
      </c>
      <c r="B40" s="12">
        <f>Model!$B$62</f>
        <v/>
      </c>
    </row>
    <row r="41">
      <c r="A41" s="7" t="inlineStr">
        <is>
          <t>Contingency</t>
        </is>
      </c>
      <c r="B41" s="12">
        <f>Model!$B$63</f>
        <v/>
      </c>
    </row>
    <row r="42">
      <c r="A42" s="9" t="inlineStr">
        <is>
          <t>Annual price (year 1)</t>
        </is>
      </c>
      <c r="B42" s="13">
        <f>Model!$B$65</f>
        <v/>
      </c>
    </row>
    <row r="43">
      <c r="A43" s="7" t="inlineStr">
        <is>
          <t>Monthly price (year 1)</t>
        </is>
      </c>
      <c r="B43" s="12">
        <f>Model!$B$66</f>
        <v/>
      </c>
    </row>
    <row r="45">
      <c r="A45" s="5" t="inlineStr">
        <is>
          <t>CONTRACT VALUE</t>
        </is>
      </c>
      <c r="B45" s="6" t="n"/>
      <c r="C45" s="6" t="n"/>
      <c r="D45" s="6" t="n"/>
    </row>
    <row r="46">
      <c r="A46" s="7" t="inlineStr">
        <is>
          <t>Term (years)</t>
        </is>
      </c>
      <c r="B46" s="19">
        <f>Input!$B$8</f>
        <v/>
      </c>
    </row>
    <row r="47">
      <c r="A47" s="7" t="inlineStr">
        <is>
          <t>One-off</t>
        </is>
      </c>
      <c r="B47" s="12">
        <f>Model!$B$33</f>
        <v/>
      </c>
    </row>
    <row r="48">
      <c r="A48" s="7" t="inlineStr">
        <is>
          <t>Run over term (indexed)</t>
        </is>
      </c>
      <c r="B48" s="12">
        <f>Model!$B$82</f>
        <v/>
      </c>
    </row>
    <row r="49">
      <c r="A49" s="9" t="inlineStr">
        <is>
          <t>TOTAL CONTRACT VALUE</t>
        </is>
      </c>
      <c r="B49" s="13">
        <f>Model!$B$83</f>
        <v/>
      </c>
    </row>
    <row r="51">
      <c r="A51" s="5" t="inlineStr">
        <is>
          <t>ARCHITECT'S NOTE</t>
        </is>
      </c>
      <c r="B51" s="6" t="n"/>
      <c r="C51" s="6" t="n"/>
      <c r="D51" s="6" t="n"/>
    </row>
    <row r="52" ht="30" customHeight="1">
      <c r="A52" s="20">
        <f>IF(Model!$B$49&gt;0.5,"Coverage floor is driving cost: "&amp;TEXT(Model!$B$49,"0.0")&amp;" FTE of standing presence exceeds incident workload. Consider regional pooling or a relaxed tier in low-density countries.","All locations are sized by incident volume.")</f>
        <v/>
      </c>
    </row>
    <row r="53"/>
    <row r="54"/>
  </sheetData>
  <mergeCells count="3">
    <mergeCell ref="A1:D1"/>
    <mergeCell ref="A3:D3"/>
    <mergeCell ref="A52:D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6" customWidth="1" min="3" max="3"/>
  </cols>
  <sheetData>
    <row r="1">
      <c r="A1" s="1" t="inlineStr">
        <is>
          <t>GP-20  ·  SOLUTION &amp; COST ARCHITECT</t>
        </is>
      </c>
    </row>
    <row r="2">
      <c r="A2" s="21" t="inlineStr">
        <is>
          <t>Managed LAN / WLAN rollout with field-support wrap</t>
        </is>
      </c>
    </row>
    <row r="3">
      <c r="A3" s="3" t="inlineStr">
        <is>
          <t>ILLUSTRATIVE MODEL — synthetic rates, not NSC pricing. Yellow cells are inputs.</t>
        </is>
      </c>
    </row>
    <row r="5">
      <c r="A5" s="5" t="inlineStr">
        <is>
          <t>ENGAGEMENT</t>
        </is>
      </c>
      <c r="B5" s="6" t="n"/>
      <c r="C5" s="6" t="n"/>
    </row>
    <row r="6">
      <c r="A6" s="7" t="inlineStr">
        <is>
          <t>Client name</t>
        </is>
      </c>
      <c r="B6" s="22" t="inlineStr">
        <is>
          <t>Aurelian Global (illustrative)</t>
        </is>
      </c>
    </row>
    <row r="7">
      <c r="A7" s="7" t="inlineStr">
        <is>
          <t>RFP reference</t>
        </is>
      </c>
      <c r="B7" s="22" t="inlineStr">
        <is>
          <t>RFP-2026-114</t>
        </is>
      </c>
    </row>
    <row r="8">
      <c r="A8" s="7" t="inlineStr">
        <is>
          <t>Contract term (years)</t>
        </is>
      </c>
      <c r="B8" s="22" t="n">
        <v>5</v>
      </c>
    </row>
    <row r="9">
      <c r="A9" s="7" t="inlineStr">
        <is>
          <t>Rollout duration (months)</t>
        </is>
      </c>
      <c r="B9" s="22" t="n">
        <v>9</v>
      </c>
    </row>
    <row r="11">
      <c r="A11" s="5" t="inlineStr">
        <is>
          <t>ESTATE</t>
        </is>
      </c>
      <c r="B11" s="6" t="n"/>
      <c r="C11" s="6" t="n"/>
    </row>
    <row r="12">
      <c r="A12" s="7" t="inlineStr">
        <is>
          <t>Sites — Small (≤50 users)</t>
        </is>
      </c>
      <c r="B12" s="22" t="n">
        <v>62</v>
      </c>
    </row>
    <row r="13">
      <c r="A13" s="7" t="inlineStr">
        <is>
          <t>Sites — Medium (51–250)</t>
        </is>
      </c>
      <c r="B13" s="22" t="n">
        <v>28</v>
      </c>
    </row>
    <row r="14">
      <c r="A14" s="7" t="inlineStr">
        <is>
          <t>Sites — Large (251–1000)</t>
        </is>
      </c>
      <c r="B14" s="22" t="n">
        <v>9</v>
      </c>
    </row>
    <row r="15">
      <c r="A15" s="7" t="inlineStr">
        <is>
          <t>Sites — Campus (&gt;1000)</t>
        </is>
      </c>
      <c r="B15" s="22" t="n">
        <v>2</v>
      </c>
    </row>
    <row r="16">
      <c r="A16" s="9" t="inlineStr">
        <is>
          <t>Total sites</t>
        </is>
      </c>
      <c r="B16" s="23">
        <f>SUM(B12:B15)</f>
        <v/>
      </c>
    </row>
    <row r="17">
      <c r="A17" s="7" t="inlineStr">
        <is>
          <t>Total end users</t>
        </is>
      </c>
      <c r="B17" s="24" t="inlineStr"/>
      <c r="C17" s="3" t="inlineStr">
        <is>
          <t>Leave blank to derive from site bands</t>
        </is>
      </c>
    </row>
    <row r="18">
      <c r="A18" s="7" t="inlineStr">
        <is>
          <t>Access switch count</t>
        </is>
      </c>
      <c r="B18" s="24" t="inlineStr"/>
      <c r="C18" s="3" t="inlineStr">
        <is>
          <t>Leave blank to derive from user count</t>
        </is>
      </c>
    </row>
    <row r="20">
      <c r="A20" s="5" t="inlineStr">
        <is>
          <t>COUNTRY MIX  (shares of estate)</t>
        </is>
      </c>
      <c r="B20" s="6" t="n"/>
      <c r="C20" s="6" t="n"/>
    </row>
    <row r="21">
      <c r="A21" s="7" t="inlineStr">
        <is>
          <t>UK</t>
        </is>
      </c>
      <c r="B21" s="25" t="n">
        <v>0.45</v>
      </c>
    </row>
    <row r="22">
      <c r="A22" s="7" t="inlineStr">
        <is>
          <t>DE</t>
        </is>
      </c>
      <c r="B22" s="25" t="n">
        <v>0.25</v>
      </c>
    </row>
    <row r="23">
      <c r="A23" s="7" t="inlineStr">
        <is>
          <t>FR</t>
        </is>
      </c>
      <c r="B23" s="25" t="n">
        <v>0.15</v>
      </c>
    </row>
    <row r="24">
      <c r="A24" s="7" t="inlineStr">
        <is>
          <t>NL</t>
        </is>
      </c>
      <c r="B24" s="25" t="n">
        <v>0.1</v>
      </c>
    </row>
    <row r="25">
      <c r="A25" s="7" t="inlineStr">
        <is>
          <t>PL</t>
        </is>
      </c>
      <c r="B25" s="25" t="n">
        <v>0.05</v>
      </c>
    </row>
    <row r="26">
      <c r="A26" s="9" t="inlineStr">
        <is>
          <t>Total (auto-normalised if ≠ 100%)</t>
        </is>
      </c>
      <c r="B26" s="26">
        <f>SUM(B21:B25)</f>
        <v/>
      </c>
    </row>
    <row r="28">
      <c r="A28" s="5" t="inlineStr">
        <is>
          <t>DEPLOYMENT</t>
        </is>
      </c>
      <c r="B28" s="6" t="n"/>
      <c r="C28" s="6" t="n"/>
    </row>
    <row r="29">
      <c r="A29" s="7" t="inlineStr">
        <is>
          <t>Survey type</t>
        </is>
      </c>
      <c r="B29" s="22" t="inlineStr">
        <is>
          <t>hybrid</t>
        </is>
      </c>
      <c r="C29" s="3" t="inlineStr">
        <is>
          <t>predictive / hybrid / onsite</t>
        </is>
      </c>
    </row>
    <row r="30">
      <c r="A30" s="7" t="inlineStr">
        <is>
          <t>Install window</t>
        </is>
      </c>
      <c r="B30" s="22" t="inlineStr">
        <is>
          <t>business_hours</t>
        </is>
      </c>
      <c r="C30" s="3" t="inlineStr">
        <is>
          <t>out_of_hours applies a ×1.35 uplift</t>
        </is>
      </c>
    </row>
    <row r="32">
      <c r="A32" s="5" t="inlineStr">
        <is>
          <t>SERVICE  (the field-support wrap)</t>
        </is>
      </c>
      <c r="B32" s="6" t="n"/>
      <c r="C32" s="6" t="n"/>
    </row>
    <row r="33">
      <c r="A33" s="7" t="inlineStr">
        <is>
          <t>SLA tier</t>
        </is>
      </c>
      <c r="B33" s="22" t="inlineStr">
        <is>
          <t>gold</t>
        </is>
      </c>
      <c r="C33" s="3" t="inlineStr">
        <is>
          <t>gold / platinum commit to on-site response</t>
        </is>
      </c>
    </row>
    <row r="34">
      <c r="A34" s="7" t="inlineStr">
        <is>
          <t>Coverage window</t>
        </is>
      </c>
      <c r="B34" s="22" t="inlineStr">
        <is>
          <t>24x7</t>
        </is>
      </c>
      <c r="C34" s="3" t="inlineStr">
        <is>
          <t>Drives shift-rota headcount</t>
        </is>
      </c>
    </row>
    <row r="35">
      <c r="A35" s="7" t="inlineStr">
        <is>
          <t>Spares strategy</t>
        </is>
      </c>
      <c r="B35" s="22" t="inlineStr">
        <is>
          <t>regional</t>
        </is>
      </c>
    </row>
    <row r="36">
      <c r="A36" s="7" t="inlineStr">
        <is>
          <t>Monitoring included</t>
        </is>
      </c>
      <c r="B36" s="22" t="inlineStr">
        <is>
          <t>TRUE</t>
        </is>
      </c>
    </row>
    <row r="37">
      <c r="A37" s="7" t="inlineStr">
        <is>
          <t>Service desk included</t>
        </is>
      </c>
      <c r="B37" s="22" t="inlineStr">
        <is>
          <t>TRUE</t>
        </is>
      </c>
    </row>
    <row r="39">
      <c r="A39" s="5" t="inlineStr">
        <is>
          <t>COMMERCIALS</t>
        </is>
      </c>
      <c r="B39" s="6" t="n"/>
      <c r="C39" s="6" t="n"/>
    </row>
    <row r="40">
      <c r="A40" s="7" t="inlineStr">
        <is>
          <t>Target margin %</t>
        </is>
      </c>
      <c r="B40" s="25" t="n">
        <v>0.22</v>
      </c>
    </row>
    <row r="41">
      <c r="A41" s="7" t="inlineStr">
        <is>
          <t>Contingency %</t>
        </is>
      </c>
      <c r="B41" s="25" t="n">
        <v>0.05</v>
      </c>
    </row>
    <row r="42">
      <c r="A42" s="7" t="inlineStr">
        <is>
          <t>Annual indexation %</t>
        </is>
      </c>
      <c r="B42" s="25" t="n">
        <v>0.03</v>
      </c>
    </row>
  </sheetData>
  <mergeCells count="1">
    <mergeCell ref="A1:C1"/>
  </mergeCells>
  <dataValidations count="7">
    <dataValidation sqref="B29" showDropDown="0" showInputMessage="0" showErrorMessage="0" allowBlank="0" type="list">
      <formula1>"predictive,hybrid,onsite"</formula1>
    </dataValidation>
    <dataValidation sqref="B30" showDropDown="0" showInputMessage="0" showErrorMessage="0" allowBlank="0" type="list">
      <formula1>"business_hours,out_of_hours"</formula1>
    </dataValidation>
    <dataValidation sqref="B33" showDropDown="0" showInputMessage="0" showErrorMessage="0" allowBlank="0" type="list">
      <formula1>"bronze,silver,gold,platinum"</formula1>
    </dataValidation>
    <dataValidation sqref="B34" showDropDown="0" showInputMessage="0" showErrorMessage="0" allowBlank="0" type="list">
      <formula1>"8x5,12x5,24x7"</formula1>
    </dataValidation>
    <dataValidation sqref="B35" showDropDown="0" showInputMessage="0" showErrorMessage="0" allowBlank="0" type="list">
      <formula1>"none,central,regional,onsite"</formula1>
    </dataValidation>
    <dataValidation sqref="B36" showDropDown="0" showInputMessage="0" showErrorMessage="0" allowBlank="0" type="list">
      <formula1>"TRUE,FALSE"</formula1>
    </dataValidation>
    <dataValidation sqref="B37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RATE CARD — ILLUSTRATIVE / SYNTHETIC DATA</t>
        </is>
      </c>
    </row>
    <row r="2">
      <c r="A2" s="3" t="inlineStr">
        <is>
          <t>Not NSC pricing. Replace this sheet with the real rate card; no formula changes required.</t>
        </is>
      </c>
    </row>
    <row r="4">
      <c r="A4" s="5" t="inlineStr">
        <is>
          <t>COUNTRY RATES (loaded day rates, GBP)</t>
        </is>
      </c>
      <c r="B4" s="6" t="n"/>
      <c r="C4" s="6" t="n"/>
      <c r="D4" s="6" t="n"/>
      <c r="E4" s="6" t="n"/>
      <c r="F4" s="6" t="n"/>
    </row>
    <row r="5">
      <c r="A5" s="27" t="inlineStr">
        <is>
          <t>Country</t>
        </is>
      </c>
      <c r="B5" s="27" t="inlineStr">
        <is>
          <t>Field</t>
        </is>
      </c>
      <c r="C5" s="27" t="inlineStr">
        <is>
          <t>NOC</t>
        </is>
      </c>
      <c r="D5" s="27" t="inlineStr">
        <is>
          <t>Service Desk</t>
        </is>
      </c>
      <c r="E5" s="27" t="inlineStr">
        <is>
          <t>SDM</t>
        </is>
      </c>
      <c r="F5" s="27" t="inlineStr">
        <is>
          <t>Travel/incident</t>
        </is>
      </c>
    </row>
    <row r="6">
      <c r="A6" s="9" t="inlineStr">
        <is>
          <t>UK</t>
        </is>
      </c>
      <c r="B6" s="28" t="n">
        <v>540</v>
      </c>
      <c r="C6" s="28" t="n">
        <v>470</v>
      </c>
      <c r="D6" s="28" t="n">
        <v>330</v>
      </c>
      <c r="E6" s="28" t="n">
        <v>720</v>
      </c>
      <c r="F6" s="28" t="n">
        <v>68</v>
      </c>
    </row>
    <row r="7">
      <c r="A7" s="9" t="inlineStr">
        <is>
          <t>DE</t>
        </is>
      </c>
      <c r="B7" s="28" t="n">
        <v>575</v>
      </c>
      <c r="C7" s="28" t="n">
        <v>495</v>
      </c>
      <c r="D7" s="28" t="n">
        <v>355</v>
      </c>
      <c r="E7" s="28" t="n">
        <v>760</v>
      </c>
      <c r="F7" s="28" t="n">
        <v>62</v>
      </c>
    </row>
    <row r="8">
      <c r="A8" s="9" t="inlineStr">
        <is>
          <t>FR</t>
        </is>
      </c>
      <c r="B8" s="28" t="n">
        <v>530</v>
      </c>
      <c r="C8" s="28" t="n">
        <v>460</v>
      </c>
      <c r="D8" s="28" t="n">
        <v>335</v>
      </c>
      <c r="E8" s="28" t="n">
        <v>700</v>
      </c>
      <c r="F8" s="28" t="n">
        <v>58</v>
      </c>
    </row>
    <row r="9">
      <c r="A9" s="9" t="inlineStr">
        <is>
          <t>NL</t>
        </is>
      </c>
      <c r="B9" s="28" t="n">
        <v>560</v>
      </c>
      <c r="C9" s="28" t="n">
        <v>485</v>
      </c>
      <c r="D9" s="28" t="n">
        <v>350</v>
      </c>
      <c r="E9" s="28" t="n">
        <v>740</v>
      </c>
      <c r="F9" s="28" t="n">
        <v>54</v>
      </c>
    </row>
    <row r="10">
      <c r="A10" s="9" t="inlineStr">
        <is>
          <t>PL</t>
        </is>
      </c>
      <c r="B10" s="28" t="n">
        <v>295</v>
      </c>
      <c r="C10" s="28" t="n">
        <v>260</v>
      </c>
      <c r="D10" s="28" t="n">
        <v>185</v>
      </c>
      <c r="E10" s="28" t="n">
        <v>430</v>
      </c>
      <c r="F10" s="28" t="n">
        <v>41</v>
      </c>
    </row>
    <row r="12">
      <c r="A12" s="5" t="inlineStr">
        <is>
          <t>SITE BANDS</t>
        </is>
      </c>
      <c r="B12" s="6" t="n"/>
      <c r="C12" s="6" t="n"/>
    </row>
    <row r="13">
      <c r="A13" s="27" t="inlineStr">
        <is>
          <t>Band</t>
        </is>
      </c>
      <c r="B13" s="27" t="inlineStr">
        <is>
          <t>APs per site</t>
        </is>
      </c>
      <c r="C13" s="27" t="inlineStr">
        <is>
          <t>Users per site</t>
        </is>
      </c>
    </row>
    <row r="14">
      <c r="A14" s="9" t="inlineStr">
        <is>
          <t>small</t>
        </is>
      </c>
      <c r="B14" s="7" t="n">
        <v>4</v>
      </c>
      <c r="C14" s="7" t="n">
        <v>30</v>
      </c>
    </row>
    <row r="15">
      <c r="A15" s="9" t="inlineStr">
        <is>
          <t>medium</t>
        </is>
      </c>
      <c r="B15" s="7" t="n">
        <v>14</v>
      </c>
      <c r="C15" s="7" t="n">
        <v>140</v>
      </c>
    </row>
    <row r="16">
      <c r="A16" s="9" t="inlineStr">
        <is>
          <t>large</t>
        </is>
      </c>
      <c r="B16" s="7" t="n">
        <v>45</v>
      </c>
      <c r="C16" s="7" t="n">
        <v>550</v>
      </c>
    </row>
    <row r="17">
      <c r="A17" s="9" t="inlineStr">
        <is>
          <t>campus</t>
        </is>
      </c>
      <c r="B17" s="7" t="n">
        <v>140</v>
      </c>
      <c r="C17" s="7" t="n">
        <v>1800</v>
      </c>
    </row>
    <row r="19">
      <c r="A19" s="5" t="inlineStr">
        <is>
          <t>SLA TIERS</t>
        </is>
      </c>
      <c r="B19" s="6" t="n"/>
      <c r="C19" s="6" t="n"/>
      <c r="D19" s="6" t="n"/>
    </row>
    <row r="20">
      <c r="A20" s="27" t="inlineStr">
        <is>
          <t>Tier</t>
        </is>
      </c>
      <c r="B20" s="27" t="inlineStr">
        <is>
          <t>FTE multiplier</t>
        </is>
      </c>
      <c r="C20" s="27" t="inlineStr">
        <is>
          <t>On-site response</t>
        </is>
      </c>
      <c r="D20" s="27" t="inlineStr">
        <is>
          <t>Triggers floor</t>
        </is>
      </c>
    </row>
    <row r="21">
      <c r="A21" s="9" t="inlineStr">
        <is>
          <t>bronze</t>
        </is>
      </c>
      <c r="B21" s="7" t="n">
        <v>1</v>
      </c>
      <c r="C21" s="7" t="inlineStr">
        <is>
          <t>Next business day</t>
        </is>
      </c>
      <c r="D21" s="7" t="n">
        <v>0</v>
      </c>
    </row>
    <row r="22">
      <c r="A22" s="9" t="inlineStr">
        <is>
          <t>silver</t>
        </is>
      </c>
      <c r="B22" s="7" t="n">
        <v>1.15</v>
      </c>
      <c r="C22" s="7" t="inlineStr">
        <is>
          <t>8 business hours</t>
        </is>
      </c>
      <c r="D22" s="7" t="n">
        <v>0</v>
      </c>
    </row>
    <row r="23">
      <c r="A23" s="9" t="inlineStr">
        <is>
          <t>gold</t>
        </is>
      </c>
      <c r="B23" s="7" t="n">
        <v>1.4</v>
      </c>
      <c r="C23" s="7" t="inlineStr">
        <is>
          <t>4 business hours</t>
        </is>
      </c>
      <c r="D23" s="7" t="n">
        <v>1</v>
      </c>
    </row>
    <row r="24">
      <c r="A24" s="9" t="inlineStr">
        <is>
          <t>platinum</t>
        </is>
      </c>
      <c r="B24" s="7" t="n">
        <v>1.9</v>
      </c>
      <c r="C24" s="7" t="inlineStr">
        <is>
          <t>2 business hours</t>
        </is>
      </c>
      <c r="D24" s="7" t="n">
        <v>1</v>
      </c>
    </row>
    <row r="26">
      <c r="A26" s="5" t="inlineStr">
        <is>
          <t>COVERAGE WINDOWS</t>
        </is>
      </c>
      <c r="B26" s="6" t="n"/>
      <c r="C26" s="6" t="n"/>
    </row>
    <row r="27">
      <c r="A27" s="27" t="inlineStr">
        <is>
          <t>Coverage</t>
        </is>
      </c>
      <c r="B27" s="27" t="inlineStr">
        <is>
          <t>FTE multiplier</t>
        </is>
      </c>
      <c r="C27" s="27" t="inlineStr">
        <is>
          <t>Presence FTE per post</t>
        </is>
      </c>
    </row>
    <row r="28">
      <c r="A28" s="9" t="inlineStr">
        <is>
          <t>8x5</t>
        </is>
      </c>
      <c r="B28" s="7" t="n">
        <v>1</v>
      </c>
      <c r="C28" s="7" t="n">
        <v>1.15</v>
      </c>
    </row>
    <row r="29">
      <c r="A29" s="9" t="inlineStr">
        <is>
          <t>12x5</t>
        </is>
      </c>
      <c r="B29" s="7" t="n">
        <v>1.35</v>
      </c>
      <c r="C29" s="7" t="n">
        <v>1.7</v>
      </c>
    </row>
    <row r="30">
      <c r="A30" s="9" t="inlineStr">
        <is>
          <t>24x7</t>
        </is>
      </c>
      <c r="B30" s="7" t="n">
        <v>3.2</v>
      </c>
      <c r="C30" s="7" t="n">
        <v>4.8</v>
      </c>
    </row>
    <row r="32">
      <c r="A32" s="5" t="inlineStr">
        <is>
          <t>SPARES STRATEGY</t>
        </is>
      </c>
      <c r="B32" s="6" t="n"/>
    </row>
    <row r="33">
      <c r="A33" s="27" t="inlineStr">
        <is>
          <t>Strategy</t>
        </is>
      </c>
      <c r="B33" s="27" t="inlineStr">
        <is>
          <t>% of hardware value</t>
        </is>
      </c>
    </row>
    <row r="34">
      <c r="A34" s="9" t="inlineStr">
        <is>
          <t>none</t>
        </is>
      </c>
      <c r="B34" s="29" t="n">
        <v>0</v>
      </c>
    </row>
    <row r="35">
      <c r="A35" s="9" t="inlineStr">
        <is>
          <t>central</t>
        </is>
      </c>
      <c r="B35" s="29" t="n">
        <v>0.025</v>
      </c>
    </row>
    <row r="36">
      <c r="A36" s="9" t="inlineStr">
        <is>
          <t>regional</t>
        </is>
      </c>
      <c r="B36" s="29" t="n">
        <v>0.045</v>
      </c>
    </row>
    <row r="37">
      <c r="A37" s="9" t="inlineStr">
        <is>
          <t>onsite</t>
        </is>
      </c>
      <c r="B37" s="29" t="n">
        <v>0.08500000000000001</v>
      </c>
    </row>
    <row r="39">
      <c r="A39" s="5" t="inlineStr">
        <is>
          <t>SURVEY TYPE</t>
        </is>
      </c>
      <c r="B39" s="6" t="n"/>
    </row>
    <row r="40">
      <c r="A40" s="27" t="inlineStr">
        <is>
          <t>Type</t>
        </is>
      </c>
      <c r="B40" s="27" t="inlineStr">
        <is>
          <t>Days per AP</t>
        </is>
      </c>
    </row>
    <row r="41">
      <c r="A41" s="9" t="inlineStr">
        <is>
          <t>predictive</t>
        </is>
      </c>
      <c r="B41" s="7" t="n">
        <v>0.02</v>
      </c>
    </row>
    <row r="42">
      <c r="A42" s="9" t="inlineStr">
        <is>
          <t>hybrid</t>
        </is>
      </c>
      <c r="B42" s="7" t="n">
        <v>0.035</v>
      </c>
    </row>
    <row r="43">
      <c r="A43" s="9" t="inlineStr">
        <is>
          <t>onsite</t>
        </is>
      </c>
      <c r="B43" s="7" t="n">
        <v>0.055</v>
      </c>
    </row>
    <row r="45">
      <c r="A45" s="5" t="inlineStr">
        <is>
          <t>MODEL CONSTANTS</t>
        </is>
      </c>
      <c r="B45" s="6" t="n"/>
    </row>
    <row r="46">
      <c r="A46" s="27" t="inlineStr">
        <is>
          <t>Constant</t>
        </is>
      </c>
      <c r="B46" s="27" t="inlineStr">
        <is>
          <t>Value</t>
        </is>
      </c>
    </row>
    <row r="47">
      <c r="A47" s="7" t="inlineStr">
        <is>
          <t>AP_INSTALL_DAYS</t>
        </is>
      </c>
      <c r="B47" s="9" t="n">
        <v>0.06</v>
      </c>
    </row>
    <row r="48">
      <c r="A48" s="7" t="inlineStr">
        <is>
          <t>SWITCH_INSTALL_DAYS</t>
        </is>
      </c>
      <c r="B48" s="9" t="n">
        <v>0.35</v>
      </c>
    </row>
    <row r="49">
      <c r="A49" s="7" t="inlineStr">
        <is>
          <t>MOBILISATION_DAYS_PER_SITE</t>
        </is>
      </c>
      <c r="B49" s="9" t="n">
        <v>1.2</v>
      </c>
    </row>
    <row r="50">
      <c r="A50" s="7" t="inlineStr">
        <is>
          <t>DESIGN_DAYS_FIXED</t>
        </is>
      </c>
      <c r="B50" s="9" t="n">
        <v>15</v>
      </c>
    </row>
    <row r="51">
      <c r="A51" s="7" t="inlineStr">
        <is>
          <t>DESIGN_DAYS_PER_SITE</t>
        </is>
      </c>
      <c r="B51" s="9" t="n">
        <v>0.12</v>
      </c>
    </row>
    <row r="52">
      <c r="A52" s="7" t="inlineStr">
        <is>
          <t>PM_OVERHEAD_PCT</t>
        </is>
      </c>
      <c r="B52" s="9" t="n">
        <v>0.15</v>
      </c>
    </row>
    <row r="53">
      <c r="A53" s="7" t="inlineStr">
        <is>
          <t>OOH_UPLIFT</t>
        </is>
      </c>
      <c r="B53" s="9" t="n">
        <v>1.35</v>
      </c>
    </row>
    <row r="54">
      <c r="A54" s="7" t="inlineStr">
        <is>
          <t>AP_INCIDENT_RATE_PA</t>
        </is>
      </c>
      <c r="B54" s="9" t="n">
        <v>0.32</v>
      </c>
    </row>
    <row r="55">
      <c r="A55" s="7" t="inlineStr">
        <is>
          <t>SWITCH_INCIDENT_RATE_PA</t>
        </is>
      </c>
      <c r="B55" s="9" t="n">
        <v>0.55</v>
      </c>
    </row>
    <row r="56">
      <c r="A56" s="7" t="inlineStr">
        <is>
          <t>HOURS_PER_INCIDENT</t>
        </is>
      </c>
      <c r="B56" s="9" t="n">
        <v>3.2</v>
      </c>
    </row>
    <row r="57">
      <c r="A57" s="7" t="inlineStr">
        <is>
          <t>PRODUCTIVE_HOURS_PA</t>
        </is>
      </c>
      <c r="B57" s="9" t="n">
        <v>1450</v>
      </c>
    </row>
    <row r="58">
      <c r="A58" s="7" t="inlineStr">
        <is>
          <t>WORKING_DAYS_PA</t>
        </is>
      </c>
      <c r="B58" s="9" t="n">
        <v>220</v>
      </c>
    </row>
    <row r="59">
      <c r="A59" s="7" t="inlineStr">
        <is>
          <t>APS_PER_NOC_FTE</t>
        </is>
      </c>
      <c r="B59" s="9" t="n">
        <v>2600</v>
      </c>
    </row>
    <row r="60">
      <c r="A60" s="7" t="inlineStr">
        <is>
          <t>SD_CONTACTS_PER_USER_PA</t>
        </is>
      </c>
      <c r="B60" s="9" t="n">
        <v>2.4</v>
      </c>
    </row>
    <row r="61">
      <c r="A61" s="7" t="inlineStr">
        <is>
          <t>SD_MINUTES_PER_CONTACT</t>
        </is>
      </c>
      <c r="B61" s="9" t="n">
        <v>11</v>
      </c>
    </row>
    <row r="62">
      <c r="A62" s="7" t="inlineStr">
        <is>
          <t>PORTS_PER_SWITCH</t>
        </is>
      </c>
      <c r="B62" s="9" t="n">
        <v>24</v>
      </c>
    </row>
    <row r="63">
      <c r="A63" s="7" t="inlineStr">
        <is>
          <t>USERS_PER_PORT</t>
        </is>
      </c>
      <c r="B63" s="9" t="n">
        <v>0.55</v>
      </c>
    </row>
    <row r="64">
      <c r="A64" s="7" t="inlineStr">
        <is>
          <t>AP_UNIT_COST</t>
        </is>
      </c>
      <c r="B64" s="9" t="n">
        <v>385</v>
      </c>
    </row>
    <row r="65">
      <c r="A65" s="7" t="inlineStr">
        <is>
          <t>SWITCH_UNIT_COST</t>
        </is>
      </c>
      <c r="B65" s="9" t="n">
        <v>2150</v>
      </c>
    </row>
    <row r="66">
      <c r="A66" s="7" t="inlineStr">
        <is>
          <t>TOOLING_PER_SITE</t>
        </is>
      </c>
      <c r="B66" s="9" t="n">
        <v>95</v>
      </c>
    </row>
    <row r="67">
      <c r="A67" s="7" t="inlineStr">
        <is>
          <t>OVERHEAD_PCT</t>
        </is>
      </c>
      <c r="B67" s="9" t="n">
        <v>0.12</v>
      </c>
    </row>
    <row r="68">
      <c r="A68" s="7" t="inlineStr">
        <is>
          <t>SITES_PER_POST</t>
        </is>
      </c>
      <c r="B68" s="9" t="n">
        <v>60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 — live calculation chain</t>
        </is>
      </c>
    </row>
    <row r="3">
      <c r="A3" s="5" t="inlineStr">
        <is>
          <t>ESTATE DERIVATION</t>
        </is>
      </c>
      <c r="B3" s="6" t="n"/>
      <c r="C3" s="6" t="n"/>
      <c r="D3" s="6" t="n"/>
      <c r="E3" s="6" t="n"/>
      <c r="F3" s="6" t="n"/>
      <c r="G3" s="6" t="n"/>
      <c r="H3" s="6" t="n"/>
    </row>
    <row r="4">
      <c r="A4" s="7" t="inlineStr">
        <is>
          <t>Total APs</t>
        </is>
      </c>
      <c r="B4" s="8">
        <f>SUMPRODUCT(Input!$B$12:$B$15,Rates!$B$14:$B$17)</f>
        <v/>
      </c>
    </row>
    <row r="5">
      <c r="A5" s="7" t="inlineStr">
        <is>
          <t>Total end users</t>
        </is>
      </c>
      <c r="B5" s="8">
        <f>IF(Input!$B$17="",SUMPRODUCT(Input!$B$12:$B$15,Rates!$C$14:$C$17),Input!$B$17)</f>
        <v/>
      </c>
      <c r="C5" s="3" t="inlineStr">
        <is>
          <t>RFP value if given, else derived from bands</t>
        </is>
      </c>
    </row>
    <row r="6">
      <c r="A6" s="7" t="inlineStr">
        <is>
          <t>Access switches</t>
        </is>
      </c>
      <c r="B6" s="8">
        <f>IF(Input!$B$18="",MAX(Input!$B$16,CEILING(Model!$B$5*Rates!$B$63/Rates!$B$62,1)),Input!$B$18)</f>
        <v/>
      </c>
    </row>
    <row r="7">
      <c r="A7" s="7" t="inlineStr">
        <is>
          <t>Hardware value</t>
        </is>
      </c>
      <c r="B7" s="12">
        <f>Model!$B$4*Rates!$B$64+Model!$B$6*Rates!$B$65</f>
        <v/>
      </c>
    </row>
    <row r="9">
      <c r="A9" s="5" t="inlineStr">
        <is>
          <t>RATE LOOKUPS</t>
        </is>
      </c>
      <c r="B9" s="6" t="n"/>
      <c r="C9" s="6" t="n"/>
      <c r="D9" s="6" t="n"/>
      <c r="E9" s="6" t="n"/>
      <c r="F9" s="6" t="n"/>
      <c r="G9" s="6" t="n"/>
      <c r="H9" s="6" t="n"/>
    </row>
    <row r="10">
      <c r="A10" s="7" t="inlineStr">
        <is>
          <t>Survey days per AP</t>
        </is>
      </c>
      <c r="B10" s="30">
        <f>VLOOKUP(Input!$B$29,Rates!$A$41:$B$43,2,FALSE)</f>
        <v/>
      </c>
    </row>
    <row r="11">
      <c r="A11" s="7" t="inlineStr">
        <is>
          <t>SLA FTE multiplier</t>
        </is>
      </c>
      <c r="B11" s="31">
        <f>VLOOKUP(Input!$B$33,Rates!$A$21:$D$24,2,FALSE)</f>
        <v/>
      </c>
    </row>
    <row r="12">
      <c r="A12" s="7" t="inlineStr">
        <is>
          <t>SLA on-site response</t>
        </is>
      </c>
      <c r="B12" s="9">
        <f>VLOOKUP(Input!$B$33,Rates!$A$21:$D$24,3,FALSE)</f>
        <v/>
      </c>
    </row>
    <row r="13">
      <c r="A13" s="7" t="inlineStr">
        <is>
          <t>SLA triggers coverage floor</t>
        </is>
      </c>
      <c r="B13" s="19">
        <f>VLOOKUP(Input!$B$33,Rates!$A$21:$D$24,4,FALSE)</f>
        <v/>
      </c>
    </row>
    <row r="14">
      <c r="A14" s="7" t="inlineStr">
        <is>
          <t>Coverage FTE multiplier</t>
        </is>
      </c>
      <c r="B14" s="31">
        <f>VLOOKUP(Input!$B$34,Rates!$A$28:$C$30,2,FALSE)</f>
        <v/>
      </c>
    </row>
    <row r="15">
      <c r="A15" s="7" t="inlineStr">
        <is>
          <t>Presence FTE per post</t>
        </is>
      </c>
      <c r="B15" s="31">
        <f>VLOOKUP(Input!$B$34,Rates!$A$28:$C$30,3,FALSE)</f>
        <v/>
      </c>
    </row>
    <row r="16">
      <c r="A16" s="7" t="inlineStr">
        <is>
          <t>Spares % of hardware</t>
        </is>
      </c>
      <c r="B16" s="32">
        <f>VLOOKUP(Input!$B$35,Rates!$A$34:$B$37,2,FALSE)</f>
        <v/>
      </c>
    </row>
    <row r="17">
      <c r="A17" s="7" t="inlineStr">
        <is>
          <t>Blended field day rate</t>
        </is>
      </c>
      <c r="B17" s="12">
        <f>SUMPRODUCT(Input!$B$21:$B$25,Rates!$B$6:$B$10)/Input!$B$26</f>
        <v/>
      </c>
    </row>
    <row r="18">
      <c r="A18" s="7" t="inlineStr">
        <is>
          <t>Blended SDM day rate</t>
        </is>
      </c>
      <c r="B18" s="12">
        <f>SUMPRODUCT(Input!$B$21:$B$25,Rates!$E$6:$E$10)/Input!$B$26</f>
        <v/>
      </c>
    </row>
    <row r="19">
      <c r="A19" s="7" t="inlineStr">
        <is>
          <t>Blended travel per incident</t>
        </is>
      </c>
      <c r="B19" s="12">
        <f>SUMPRODUCT(Input!$B$21:$B$25,Rates!$F$6:$F$10)/Input!$B$26</f>
        <v/>
      </c>
    </row>
    <row r="21">
      <c r="A21" s="5" t="inlineStr">
        <is>
          <t>DEPLOYMENT  (one-off)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s="7" t="inlineStr">
        <is>
          <t>Survey days</t>
        </is>
      </c>
      <c r="B22" s="10">
        <f>Model!$B$4*Model!$B$10</f>
        <v/>
      </c>
    </row>
    <row r="23">
      <c r="A23" s="7" t="inlineStr">
        <is>
          <t>Install days</t>
        </is>
      </c>
      <c r="B23" s="10">
        <f>(Model!$B$4*Rates!$B$47+Model!$B$6*Rates!$B$48+Input!$B$16*Rates!$B$49)*IF(Input!$B$30="out_of_hours",Rates!$B$53,1)</f>
        <v/>
      </c>
    </row>
    <row r="24">
      <c r="A24" s="7" t="inlineStr">
        <is>
          <t>Design days</t>
        </is>
      </c>
      <c r="B24" s="10">
        <f>Rates!$B$50+Input!$B$16*Rates!$B$51</f>
        <v/>
      </c>
    </row>
    <row r="25">
      <c r="A25" s="7" t="inlineStr">
        <is>
          <t>Project management days</t>
        </is>
      </c>
      <c r="B25" s="10">
        <f>(Model!$B$22+Model!$B$23+Model!$B$24)*Rates!$B$52</f>
        <v/>
      </c>
    </row>
    <row r="26">
      <c r="A26" s="7" t="inlineStr">
        <is>
          <t>Total deployment days</t>
        </is>
      </c>
      <c r="B26" s="10">
        <f>Model!$B$22+Model!$B$23+Model!$B$24+Model!$B$25</f>
        <v/>
      </c>
    </row>
    <row r="27">
      <c r="A27" s="7" t="inlineStr">
        <is>
          <t>Deployment labour</t>
        </is>
      </c>
      <c r="B27" s="12">
        <f>(Model!$B$22+Model!$B$23)*Model!$B$17+(Model!$B$24+Model!$B$25)*Model!$B$18</f>
        <v/>
      </c>
    </row>
    <row r="28">
      <c r="A28" s="7" t="inlineStr">
        <is>
          <t>Deployment hardware</t>
        </is>
      </c>
      <c r="B28" s="12">
        <f>Model!$B$7</f>
        <v/>
      </c>
    </row>
    <row r="29">
      <c r="A29" s="7" t="inlineStr">
        <is>
          <t>Deployment tooling</t>
        </is>
      </c>
      <c r="B29" s="12">
        <f>Input!$B$16*Rates!$B$66</f>
        <v/>
      </c>
    </row>
    <row r="30">
      <c r="A30" s="7" t="inlineStr">
        <is>
          <t>Deployment overhead</t>
        </is>
      </c>
      <c r="B30" s="12">
        <f>Model!$B$27*Rates!$B$67</f>
        <v/>
      </c>
    </row>
    <row r="31">
      <c r="A31" s="7" t="inlineStr">
        <is>
          <t>Deployment contingency</t>
        </is>
      </c>
      <c r="B31" s="12">
        <f>(Model!$B$27+Model!$B$28+Model!$B$29+Model!$B$30)*Input!$B$41</f>
        <v/>
      </c>
    </row>
    <row r="32">
      <c r="A32" s="7" t="inlineStr">
        <is>
          <t>Deployment cost</t>
        </is>
      </c>
      <c r="B32" s="12">
        <f>Model!$B$27+Model!$B$28+Model!$B$29+Model!$B$30+Model!$B$31</f>
        <v/>
      </c>
    </row>
    <row r="33">
      <c r="A33" s="7" t="inlineStr">
        <is>
          <t>Deployment PRICE</t>
        </is>
      </c>
      <c r="B33" s="12">
        <f>Model!$B$32/(1-Input!$B$40)</f>
        <v/>
      </c>
    </row>
    <row r="35">
      <c r="A35" s="5" t="inlineStr">
        <is>
          <t>RUN — DEMAND</t>
        </is>
      </c>
      <c r="B35" s="6" t="n"/>
      <c r="C35" s="6" t="n"/>
      <c r="D35" s="6" t="n"/>
      <c r="E35" s="6" t="n"/>
      <c r="F35" s="6" t="n"/>
      <c r="G35" s="6" t="n"/>
      <c r="H35" s="6" t="n"/>
    </row>
    <row r="36">
      <c r="A36" s="7" t="inlineStr">
        <is>
          <t>Incidents per annum</t>
        </is>
      </c>
      <c r="B36" s="10">
        <f>Model!$B$4*Rates!$B$54+Model!$B$6*Rates!$B$55</f>
        <v/>
      </c>
    </row>
    <row r="37">
      <c r="A37" s="7" t="inlineStr">
        <is>
          <t>Demand-driven field FTE (total)</t>
        </is>
      </c>
      <c r="B37" s="31">
        <f>Model!$B$36*Rates!$B$56/Rates!$B$57*Model!$B$11*Model!$B$14</f>
        <v/>
      </c>
    </row>
    <row r="39">
      <c r="A39" s="5" t="inlineStr">
        <is>
          <t>RUN — FIELD PRESENCE BY COUNTRY  (max of demand vs coverage floor)</t>
        </is>
      </c>
      <c r="B39" s="6" t="n"/>
      <c r="C39" s="6" t="n"/>
      <c r="D39" s="6" t="n"/>
      <c r="E39" s="6" t="n"/>
      <c r="F39" s="6" t="n"/>
      <c r="G39" s="6" t="n"/>
      <c r="H39" s="6" t="n"/>
    </row>
    <row r="40">
      <c r="A40" s="27" t="inlineStr">
        <is>
          <t>Country</t>
        </is>
      </c>
      <c r="B40" s="27" t="inlineStr">
        <is>
          <t>Share</t>
        </is>
      </c>
      <c r="C40" s="27" t="inlineStr">
        <is>
          <t>Demand FTE</t>
        </is>
      </c>
      <c r="D40" s="27" t="inlineStr">
        <is>
          <t>Posts</t>
        </is>
      </c>
      <c r="E40" s="27" t="inlineStr">
        <is>
          <t>Floor FTE</t>
        </is>
      </c>
      <c r="F40" s="27" t="inlineStr">
        <is>
          <t>Applied FTE</t>
        </is>
      </c>
      <c r="G40" s="27" t="inlineStr">
        <is>
          <t>Driver</t>
        </is>
      </c>
      <c r="H40" s="27" t="inlineStr">
        <is>
          <t>Labour</t>
        </is>
      </c>
    </row>
    <row r="41">
      <c r="A41" s="15" t="inlineStr">
        <is>
          <t>UK</t>
        </is>
      </c>
      <c r="B41" s="33">
        <f>(Input!$B$21/Input!$B$26)</f>
        <v/>
      </c>
      <c r="C41" s="17">
        <f>Model!$B$37*$B41</f>
        <v/>
      </c>
      <c r="D41" s="34">
        <f>IF(OR(Model!$B$13&lt;&gt;1,$B41=0),0,MAX(1,CEILING(Input!$B$16*$B41/Rates!$B$68,1)))</f>
        <v/>
      </c>
      <c r="E41" s="17">
        <f>$D41*Model!$B$15</f>
        <v/>
      </c>
      <c r="F41" s="17">
        <f>MAX($C41,$E41)</f>
        <v/>
      </c>
      <c r="G41" s="16">
        <f>IF($E41&gt;$C41,"coverage floor","incident volume")</f>
        <v/>
      </c>
      <c r="H41" s="35">
        <f>$F41*INDEX(Rates!$B$6:$B$10,1)*Rates!$B$58</f>
        <v/>
      </c>
    </row>
    <row r="42">
      <c r="A42" s="15" t="inlineStr">
        <is>
          <t>DE</t>
        </is>
      </c>
      <c r="B42" s="33">
        <f>(Input!$B$22/Input!$B$26)</f>
        <v/>
      </c>
      <c r="C42" s="17">
        <f>Model!$B$37*$B42</f>
        <v/>
      </c>
      <c r="D42" s="34">
        <f>IF(OR(Model!$B$13&lt;&gt;1,$B42=0),0,MAX(1,CEILING(Input!$B$16*$B42/Rates!$B$68,1)))</f>
        <v/>
      </c>
      <c r="E42" s="17">
        <f>$D42*Model!$B$15</f>
        <v/>
      </c>
      <c r="F42" s="17">
        <f>MAX($C42,$E42)</f>
        <v/>
      </c>
      <c r="G42" s="16">
        <f>IF($E42&gt;$C42,"coverage floor","incident volume")</f>
        <v/>
      </c>
      <c r="H42" s="35">
        <f>$F42*INDEX(Rates!$B$6:$B$10,2)*Rates!$B$58</f>
        <v/>
      </c>
    </row>
    <row r="43">
      <c r="A43" s="15" t="inlineStr">
        <is>
          <t>FR</t>
        </is>
      </c>
      <c r="B43" s="33">
        <f>(Input!$B$23/Input!$B$26)</f>
        <v/>
      </c>
      <c r="C43" s="17">
        <f>Model!$B$37*$B43</f>
        <v/>
      </c>
      <c r="D43" s="34">
        <f>IF(OR(Model!$B$13&lt;&gt;1,$B43=0),0,MAX(1,CEILING(Input!$B$16*$B43/Rates!$B$68,1)))</f>
        <v/>
      </c>
      <c r="E43" s="17">
        <f>$D43*Model!$B$15</f>
        <v/>
      </c>
      <c r="F43" s="17">
        <f>MAX($C43,$E43)</f>
        <v/>
      </c>
      <c r="G43" s="16">
        <f>IF($E43&gt;$C43,"coverage floor","incident volume")</f>
        <v/>
      </c>
      <c r="H43" s="35">
        <f>$F43*INDEX(Rates!$B$6:$B$10,3)*Rates!$B$58</f>
        <v/>
      </c>
    </row>
    <row r="44">
      <c r="A44" s="15" t="inlineStr">
        <is>
          <t>NL</t>
        </is>
      </c>
      <c r="B44" s="33">
        <f>(Input!$B$24/Input!$B$26)</f>
        <v/>
      </c>
      <c r="C44" s="17">
        <f>Model!$B$37*$B44</f>
        <v/>
      </c>
      <c r="D44" s="34">
        <f>IF(OR(Model!$B$13&lt;&gt;1,$B44=0),0,MAX(1,CEILING(Input!$B$16*$B44/Rates!$B$68,1)))</f>
        <v/>
      </c>
      <c r="E44" s="17">
        <f>$D44*Model!$B$15</f>
        <v/>
      </c>
      <c r="F44" s="17">
        <f>MAX($C44,$E44)</f>
        <v/>
      </c>
      <c r="G44" s="16">
        <f>IF($E44&gt;$C44,"coverage floor","incident volume")</f>
        <v/>
      </c>
      <c r="H44" s="35">
        <f>$F44*INDEX(Rates!$B$6:$B$10,4)*Rates!$B$58</f>
        <v/>
      </c>
    </row>
    <row r="45">
      <c r="A45" s="15" t="inlineStr">
        <is>
          <t>PL</t>
        </is>
      </c>
      <c r="B45" s="33">
        <f>(Input!$B$25/Input!$B$26)</f>
        <v/>
      </c>
      <c r="C45" s="17">
        <f>Model!$B$37*$B45</f>
        <v/>
      </c>
      <c r="D45" s="34">
        <f>IF(OR(Model!$B$13&lt;&gt;1,$B45=0),0,MAX(1,CEILING(Input!$B$16*$B45/Rates!$B$68,1)))</f>
        <v/>
      </c>
      <c r="E45" s="17">
        <f>$D45*Model!$B$15</f>
        <v/>
      </c>
      <c r="F45" s="17">
        <f>MAX($C45,$E45)</f>
        <v/>
      </c>
      <c r="G45" s="16">
        <f>IF($E45&gt;$C45,"coverage floor","incident volume")</f>
        <v/>
      </c>
      <c r="H45" s="35">
        <f>$F45*INDEX(Rates!$B$6:$B$10,5)*Rates!$B$58</f>
        <v/>
      </c>
    </row>
    <row r="47">
      <c r="A47" s="5" t="inlineStr">
        <is>
          <t>RUN — RESOURCE &amp; COST</t>
        </is>
      </c>
      <c r="B47" s="6" t="n"/>
      <c r="C47" s="6" t="n"/>
      <c r="D47" s="6" t="n"/>
      <c r="E47" s="6" t="n"/>
      <c r="F47" s="6" t="n"/>
      <c r="G47" s="6" t="n"/>
      <c r="H47" s="6" t="n"/>
    </row>
    <row r="48">
      <c r="A48" s="7" t="inlineStr">
        <is>
          <t>Field FTE (applied)</t>
        </is>
      </c>
      <c r="B48" s="31">
        <f>SUM(Model!$F$41:$F$45)</f>
        <v/>
      </c>
    </row>
    <row r="49">
      <c r="A49" s="7" t="inlineStr">
        <is>
          <t>Surplus FTE above workload</t>
        </is>
      </c>
      <c r="B49" s="31">
        <f>SUMIF(Model!$G$41:$G$45,"coverage floor",Model!$F$41:$F$45)-SUMIF(Model!$G$41:$G$45,"coverage floor",Model!$C$41:$C$45)</f>
        <v/>
      </c>
      <c r="C49" s="3" t="inlineStr">
        <is>
          <t>Standing presence that exceeds incident demand</t>
        </is>
      </c>
    </row>
    <row r="50">
      <c r="A50" s="7" t="inlineStr">
        <is>
          <t>NOC FTE</t>
        </is>
      </c>
      <c r="B50" s="31">
        <f>IF(UPPER(Input!$B$36&amp;"")="TRUE",Model!$B$4/Rates!$B$59*Model!$B$14,0)</f>
        <v/>
      </c>
    </row>
    <row r="51">
      <c r="A51" s="7" t="inlineStr">
        <is>
          <t>Service desk FTE</t>
        </is>
      </c>
      <c r="B51" s="31">
        <f>IF(UPPER(Input!$B$37&amp;"")="TRUE",Model!$B$5*Rates!$B$60*Rates!$B$61/60/Rates!$B$57,0)</f>
        <v/>
      </c>
    </row>
    <row r="52">
      <c r="A52" s="7" t="inlineStr">
        <is>
          <t>Primary hub share</t>
        </is>
      </c>
      <c r="B52" s="31">
        <f>IF(Input!$B$34="24x7",0.65,1)</f>
        <v/>
      </c>
      <c r="C52" s="3" t="inlineStr">
        <is>
          <t>Hub: PL</t>
        </is>
      </c>
    </row>
    <row r="53">
      <c r="A53" s="7" t="inlineStr">
        <is>
          <t>Secondary hub share</t>
        </is>
      </c>
      <c r="B53" s="31">
        <f>IF(Input!$B$34="24x7",0.35,0)</f>
        <v/>
      </c>
      <c r="C53" s="3" t="inlineStr">
        <is>
          <t>Hub: UK</t>
        </is>
      </c>
    </row>
    <row r="54">
      <c r="A54" s="7" t="inlineStr">
        <is>
          <t>Field labour</t>
        </is>
      </c>
      <c r="B54" s="12">
        <f>SUM(Model!$H$41:$H$45)</f>
        <v/>
      </c>
    </row>
    <row r="55">
      <c r="A55" s="7" t="inlineStr">
        <is>
          <t>Central function labour</t>
        </is>
      </c>
      <c r="B55" s="12">
        <f>((Model!$B$50*Model!$B$52*VLOOKUP("PL",Rates!$A$6:$F$10,3,FALSE))+(Model!$B$51*Model!$B$52*VLOOKUP("PL",Rates!$A$6:$F$10,4,FALSE))+(Model!$B$50*Model!$B$53*VLOOKUP("UK",Rates!$A$6:$F$10,3,FALSE))+(Model!$B$51*Model!$B$53*VLOOKUP("UK",Rates!$A$6:$F$10,4,FALSE)))*Rates!$B$58</f>
        <v/>
      </c>
    </row>
    <row r="56">
      <c r="A56" s="7" t="inlineStr">
        <is>
          <t>Delivery labour (pre-SDM)</t>
        </is>
      </c>
      <c r="B56" s="12">
        <f>Model!$B$54+Model!$B$55</f>
        <v/>
      </c>
    </row>
    <row r="57">
      <c r="A57" s="7" t="inlineStr">
        <is>
          <t>SDM FTE</t>
        </is>
      </c>
      <c r="B57" s="31">
        <f>IF(Model!$B$56&lt;1000000,0.5,IF(Model!$B$56&lt;3000000,1,IF(Model!$B$56&lt;7000000,1.8,2.5)))</f>
        <v/>
      </c>
      <c r="C57" s="3" t="inlineStr">
        <is>
          <t>Banded on delivery labour</t>
        </is>
      </c>
    </row>
    <row r="58">
      <c r="A58" s="7" t="inlineStr">
        <is>
          <t>Run labour (total)</t>
        </is>
      </c>
      <c r="B58" s="12">
        <f>Model!$B$56+Model!$B$57*Model!$B$18*Rates!$B$58</f>
        <v/>
      </c>
    </row>
    <row r="59">
      <c r="A59" s="7" t="inlineStr">
        <is>
          <t>Travel</t>
        </is>
      </c>
      <c r="B59" s="12">
        <f>Model!$B$36*Model!$B$19</f>
        <v/>
      </c>
    </row>
    <row r="60">
      <c r="A60" s="7" t="inlineStr">
        <is>
          <t>Spares</t>
        </is>
      </c>
      <c r="B60" s="12">
        <f>Model!$B$7*Model!$B$16</f>
        <v/>
      </c>
    </row>
    <row r="61">
      <c r="A61" s="7" t="inlineStr">
        <is>
          <t>Tooling (annual refresh)</t>
        </is>
      </c>
      <c r="B61" s="12">
        <f>Input!$B$16*Rates!$B$66*0.25</f>
        <v/>
      </c>
    </row>
    <row r="62">
      <c r="A62" s="7" t="inlineStr">
        <is>
          <t>Overhead</t>
        </is>
      </c>
      <c r="B62" s="12">
        <f>(Model!$B$58+Model!$B$59)*Rates!$B$67</f>
        <v/>
      </c>
    </row>
    <row r="63">
      <c r="A63" s="7" t="inlineStr">
        <is>
          <t>Contingency</t>
        </is>
      </c>
      <c r="B63" s="12">
        <f>(Model!$B$58+Model!$B$59+Model!$B$60+Model!$B$61+Model!$B$62)*Input!$B$41</f>
        <v/>
      </c>
    </row>
    <row r="64">
      <c r="A64" s="7" t="inlineStr">
        <is>
          <t>Run cost p.a.</t>
        </is>
      </c>
      <c r="B64" s="12">
        <f>Model!$B$58+Model!$B$59+Model!$B$60+Model!$B$61+Model!$B$62+Model!$B$63</f>
        <v/>
      </c>
    </row>
    <row r="65">
      <c r="A65" s="7" t="inlineStr">
        <is>
          <t>Run PRICE p.a. (year 1)</t>
        </is>
      </c>
      <c r="B65" s="12">
        <f>Model!$B$64/(1-Input!$B$40)</f>
        <v/>
      </c>
    </row>
    <row r="66">
      <c r="A66" s="7" t="inlineStr">
        <is>
          <t>Run price per month</t>
        </is>
      </c>
      <c r="B66" s="12">
        <f>Model!$B$65/12</f>
        <v/>
      </c>
    </row>
    <row r="67">
      <c r="A67" s="7" t="inlineStr">
        <is>
          <t>Total run FTE</t>
        </is>
      </c>
      <c r="B67" s="31">
        <f>Model!$B$48+Model!$B$50+Model!$B$51+Model!$B$57</f>
        <v/>
      </c>
    </row>
    <row r="69">
      <c r="A69" s="5" t="inlineStr">
        <is>
          <t>CONTRACT VALUE</t>
        </is>
      </c>
      <c r="B69" s="6" t="n"/>
      <c r="C69" s="6" t="n"/>
      <c r="D69" s="6" t="n"/>
      <c r="E69" s="6" t="n"/>
      <c r="F69" s="6" t="n"/>
      <c r="G69" s="6" t="n"/>
      <c r="H69" s="6" t="n"/>
    </row>
    <row r="70">
      <c r="A70" s="14" t="inlineStr">
        <is>
          <t>Year</t>
        </is>
      </c>
      <c r="B70" s="14" t="inlineStr">
        <is>
          <t>In term?</t>
        </is>
      </c>
      <c r="C70" s="14" t="inlineStr">
        <is>
          <t>Indexed price</t>
        </is>
      </c>
    </row>
    <row r="71">
      <c r="A71" s="9" t="n">
        <v>1</v>
      </c>
      <c r="B71" s="7">
        <f>IF(1&lt;=Input!$B$8,"yes","-")</f>
        <v/>
      </c>
      <c r="C71" s="36">
        <f>IF(1&lt;=Input!$B$8,Model!$B$65*(1+Input!$B$42)^0,0)</f>
        <v/>
      </c>
    </row>
    <row r="72">
      <c r="A72" s="9" t="n">
        <v>2</v>
      </c>
      <c r="B72" s="7">
        <f>IF(2&lt;=Input!$B$8,"yes","-")</f>
        <v/>
      </c>
      <c r="C72" s="36">
        <f>IF(2&lt;=Input!$B$8,Model!$B$65*(1+Input!$B$42)^1,0)</f>
        <v/>
      </c>
    </row>
    <row r="73">
      <c r="A73" s="9" t="n">
        <v>3</v>
      </c>
      <c r="B73" s="7">
        <f>IF(3&lt;=Input!$B$8,"yes","-")</f>
        <v/>
      </c>
      <c r="C73" s="36">
        <f>IF(3&lt;=Input!$B$8,Model!$B$65*(1+Input!$B$42)^2,0)</f>
        <v/>
      </c>
    </row>
    <row r="74">
      <c r="A74" s="9" t="n">
        <v>4</v>
      </c>
      <c r="B74" s="7">
        <f>IF(4&lt;=Input!$B$8,"yes","-")</f>
        <v/>
      </c>
      <c r="C74" s="36">
        <f>IF(4&lt;=Input!$B$8,Model!$B$65*(1+Input!$B$42)^3,0)</f>
        <v/>
      </c>
    </row>
    <row r="75">
      <c r="A75" s="9" t="n">
        <v>5</v>
      </c>
      <c r="B75" s="7">
        <f>IF(5&lt;=Input!$B$8,"yes","-")</f>
        <v/>
      </c>
      <c r="C75" s="36">
        <f>IF(5&lt;=Input!$B$8,Model!$B$65*(1+Input!$B$42)^4,0)</f>
        <v/>
      </c>
    </row>
    <row r="76">
      <c r="A76" s="9" t="n">
        <v>6</v>
      </c>
      <c r="B76" s="7">
        <f>IF(6&lt;=Input!$B$8,"yes","-")</f>
        <v/>
      </c>
      <c r="C76" s="36">
        <f>IF(6&lt;=Input!$B$8,Model!$B$65*(1+Input!$B$42)^5,0)</f>
        <v/>
      </c>
    </row>
    <row r="77">
      <c r="A77" s="9" t="n">
        <v>7</v>
      </c>
      <c r="B77" s="7">
        <f>IF(7&lt;=Input!$B$8,"yes","-")</f>
        <v/>
      </c>
      <c r="C77" s="36">
        <f>IF(7&lt;=Input!$B$8,Model!$B$65*(1+Input!$B$42)^6,0)</f>
        <v/>
      </c>
    </row>
    <row r="78">
      <c r="A78" s="9" t="n">
        <v>8</v>
      </c>
      <c r="B78" s="7">
        <f>IF(8&lt;=Input!$B$8,"yes","-")</f>
        <v/>
      </c>
      <c r="C78" s="36">
        <f>IF(8&lt;=Input!$B$8,Model!$B$65*(1+Input!$B$42)^7,0)</f>
        <v/>
      </c>
    </row>
    <row r="79">
      <c r="A79" s="9" t="n">
        <v>9</v>
      </c>
      <c r="B79" s="7">
        <f>IF(9&lt;=Input!$B$8,"yes","-")</f>
        <v/>
      </c>
      <c r="C79" s="36">
        <f>IF(9&lt;=Input!$B$8,Model!$B$65*(1+Input!$B$42)^8,0)</f>
        <v/>
      </c>
    </row>
    <row r="80">
      <c r="A80" s="9" t="n">
        <v>10</v>
      </c>
      <c r="B80" s="7">
        <f>IF(10&lt;=Input!$B$8,"yes","-")</f>
        <v/>
      </c>
      <c r="C80" s="36">
        <f>IF(10&lt;=Input!$B$8,Model!$B$65*(1+Input!$B$42)^9,0)</f>
        <v/>
      </c>
    </row>
    <row r="82">
      <c r="A82" s="7" t="inlineStr">
        <is>
          <t>Total run over term</t>
        </is>
      </c>
      <c r="B82" s="12">
        <f>SUM(Model!$C$71:$C$80)</f>
        <v/>
      </c>
    </row>
    <row r="83">
      <c r="A83" s="7" t="inlineStr">
        <is>
          <t>TCV</t>
        </is>
      </c>
      <c r="B83" s="12">
        <f>Model!$B$33+Model!$B$82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2026-08-15T05:17:07Z</dcterms:created>
  <dcterms:modified xmlns:dcterms="http://purl.org/dc/terms/" xmlns:xsi="http://www.w3.org/2001/XMLSchema-instance" xsi:type="dcterms:W3CDTF">2026-08-15T05:17:07Z</dcterms:modified>
</cp:coreProperties>
</file>